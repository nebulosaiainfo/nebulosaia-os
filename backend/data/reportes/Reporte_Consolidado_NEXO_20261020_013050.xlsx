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Flujo por Método de Pago" sheetId="2" state="visible" r:id="rId2"/>
    <sheet xmlns:r="http://schemas.openxmlformats.org/officeDocument/2006/relationships" name="Historial de Facturación" sheetId="3" state="visible" r:id="rId3"/>
    <sheet xmlns:r="http://schemas.openxmlformats.org/officeDocument/2006/relationships" name="Inventario WMS" sheetId="4" state="visible" r:id="rId4"/>
    <sheet xmlns:r="http://schemas.openxmlformats.org/officeDocument/2006/relationships" name="Cartera de Apart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CRC &quot;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DC2626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3" fillId="3" borderId="0" pivotButton="0" quotePrefix="0" xfId="0"/>
    <xf numFmtId="165" fontId="5" fillId="0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5" fillId="0" borderId="1" pivotButton="0" quotePrefix="0" xfId="0"/>
    <xf numFmtId="3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4" borderId="2" pivotButton="0" quotePrefix="0" xfId="0"/>
    <xf numFmtId="3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pivotButton="0" quotePrefix="0" xfId="0"/>
    <xf numFmtId="164" fontId="4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F0FF"/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34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>REPORTE GENERAL DE GESTIÓN Y BUSINESS ANALYTICS — NEXO RETAIL BOUTIQUE</t>
        </is>
      </c>
    </row>
    <row r="2" ht="18" customHeight="1">
      <c r="A2" s="2" t="inlineStr">
        <is>
          <t>Cédula Fiscal: 3-101-948271  |  Giro Comercial: Comercio General / Retail  |  Generado: 20/10/2026 01:30  |  Moneda Oficial: CRC</t>
        </is>
      </c>
    </row>
    <row r="3"/>
    <row r="4">
      <c r="A4" s="3" t="inlineStr">
        <is>
          <t>MÉTRICAS CLAVE DE VENTAS &amp; FISCALES</t>
        </is>
      </c>
      <c r="B4" s="4" t="inlineStr">
        <is>
          <t>VALOR CONSOLIDADO</t>
        </is>
      </c>
      <c r="C4" s="4" t="inlineStr">
        <is>
          <t>NOTAS / DESGLOSE</t>
        </is>
      </c>
    </row>
    <row r="5">
      <c r="A5" s="5" t="inlineStr">
        <is>
          <t>Ventas Totales Netas Cobradas (IVA Incluido)</t>
        </is>
      </c>
      <c r="B5" s="6" t="n">
        <v>50567.5</v>
      </c>
      <c r="C5" s="7" t="inlineStr">
        <is>
          <t>Monto efectivo total facturado</t>
        </is>
      </c>
    </row>
    <row r="6">
      <c r="A6" s="5" t="inlineStr">
        <is>
          <t>Subtotal Base Imponible (Sin Impuestos)</t>
        </is>
      </c>
      <c r="B6" s="6" t="n">
        <v>48500</v>
      </c>
      <c r="C6" s="7" t="inlineStr">
        <is>
          <t>Base gravable legal</t>
        </is>
      </c>
    </row>
    <row r="7">
      <c r="A7" s="5" t="inlineStr">
        <is>
          <t>I.V.A. (13% Incluido Recaudado)</t>
        </is>
      </c>
      <c r="B7" s="6" t="n">
        <v>5817.5</v>
      </c>
      <c r="C7" s="7" t="inlineStr">
        <is>
          <t>Débito fiscal para Hacienda</t>
        </is>
      </c>
    </row>
    <row r="8">
      <c r="A8" s="5" t="inlineStr">
        <is>
          <t>Total Descuentos y Promociones Otorgadas</t>
        </is>
      </c>
      <c r="B8" s="6" t="n">
        <v>3750</v>
      </c>
      <c r="C8" s="7" t="inlineStr">
        <is>
          <t>Beneficio directo al cliente</t>
        </is>
      </c>
    </row>
    <row r="9">
      <c r="A9" s="5" t="inlineStr">
        <is>
          <t>Cantidad de Facturas Emitidas</t>
        </is>
      </c>
      <c r="B9" s="8" t="n">
        <v>2</v>
      </c>
      <c r="C9" s="7" t="inlineStr">
        <is>
          <t>Volumen de transacciones</t>
        </is>
      </c>
    </row>
    <row r="10">
      <c r="A10" s="5" t="inlineStr">
        <is>
          <t>Ticket Promedio por Venta</t>
        </is>
      </c>
      <c r="B10" s="6" t="n">
        <v>25283.75</v>
      </c>
      <c r="C10" s="7" t="inlineStr">
        <is>
          <t>Monto promedio por factura</t>
        </is>
      </c>
    </row>
    <row r="11"/>
    <row r="12">
      <c r="A12" s="9" t="inlineStr">
        <is>
          <t>VALORACIÓN Y SALUD DE BODEGA WMS</t>
        </is>
      </c>
      <c r="B12" s="9" t="inlineStr">
        <is>
          <t>VALOR CONSOLIDADO</t>
        </is>
      </c>
      <c r="C12" s="9" t="inlineStr">
        <is>
          <t>NOTAS DE INVENTARIO</t>
        </is>
      </c>
    </row>
    <row r="13">
      <c r="A13" s="5" t="inlineStr">
        <is>
          <t>Total de Artículos / SKUs Registrados</t>
        </is>
      </c>
      <c r="B13" s="8" t="n">
        <v>8</v>
      </c>
      <c r="C13" s="7" t="inlineStr">
        <is>
          <t>Catálogo activo</t>
        </is>
      </c>
    </row>
    <row r="14">
      <c r="A14" s="5" t="inlineStr">
        <is>
          <t>Existencias Físicas en Almacén (Disponibles)</t>
        </is>
      </c>
      <c r="B14" s="8" t="n">
        <v>1726</v>
      </c>
      <c r="C14" s="7" t="inlineStr">
        <is>
          <t>Unidades para venta inmediata</t>
        </is>
      </c>
    </row>
    <row r="15">
      <c r="A15" s="5" t="inlineStr">
        <is>
          <t>Unidades Comprometidas en Apartados</t>
        </is>
      </c>
      <c r="B15" s="8" t="n">
        <v>29</v>
      </c>
      <c r="C15" s="7" t="inlineStr">
        <is>
          <t>Reservas activas de clientes</t>
        </is>
      </c>
    </row>
    <row r="16">
      <c r="A16" s="5" t="inlineStr">
        <is>
          <t>Valoración Comercial Total (PVP con IVA)</t>
        </is>
      </c>
      <c r="B16" s="6" t="n">
        <v>23686000</v>
      </c>
      <c r="C16" s="7" t="inlineStr">
        <is>
          <t>Valor bruto en anaquel</t>
        </is>
      </c>
    </row>
    <row r="17">
      <c r="A17" s="5" t="inlineStr">
        <is>
          <t>Valoración en Costo de Adquisición</t>
        </is>
      </c>
      <c r="B17" s="6" t="n">
        <v>594000</v>
      </c>
      <c r="C17" s="7" t="inlineStr">
        <is>
          <t>Capital inmovilizado en compras</t>
        </is>
      </c>
    </row>
    <row r="18">
      <c r="A18" s="5" t="inlineStr">
        <is>
          <t>Margen Bruto Teórico Estimado</t>
        </is>
      </c>
      <c r="B18" s="6" t="n">
        <v>23092000</v>
      </c>
      <c r="C18" s="7" t="inlineStr">
        <is>
          <t>Ganancia potencial proyectada</t>
        </is>
      </c>
    </row>
    <row r="19">
      <c r="A19" s="5" t="inlineStr">
        <is>
          <t>Rentabilidad Estimada de Catálogo (%)</t>
        </is>
      </c>
      <c r="B19" s="10" t="n">
        <v>0.9749218947901714</v>
      </c>
      <c r="C19" s="7" t="inlineStr">
        <is>
          <t>Margen sobre ventas brutas</t>
        </is>
      </c>
    </row>
    <row r="20"/>
    <row r="21">
      <c r="A21" s="9" t="inlineStr">
        <is>
          <t>ESTADO DE CARTERA (SISTEMA DE APARTADOS)</t>
        </is>
      </c>
      <c r="B21" s="9" t="inlineStr">
        <is>
          <t>VALOR CONSOLIDADO</t>
        </is>
      </c>
      <c r="C21" s="9" t="inlineStr">
        <is>
          <t>ESTADO DE COBRANZA</t>
        </is>
      </c>
    </row>
    <row r="22">
      <c r="A22" s="5" t="inlineStr">
        <is>
          <t>Total de Apartados Generados</t>
        </is>
      </c>
      <c r="B22" s="8" t="n">
        <v>4</v>
      </c>
      <c r="C22" s="7" t="inlineStr">
        <is>
          <t>Clientes en plan de pagos</t>
        </is>
      </c>
    </row>
    <row r="23">
      <c r="A23" s="5" t="inlineStr">
        <is>
          <t>Monto Total Comprometido en Apartados</t>
        </is>
      </c>
      <c r="B23" s="6" t="n">
        <v>631500</v>
      </c>
      <c r="C23" s="7" t="inlineStr">
        <is>
          <t>Venta acordada</t>
        </is>
      </c>
    </row>
    <row r="24">
      <c r="A24" s="5" t="inlineStr">
        <is>
          <t>Monto Ya Recaudado (Abonos Confirmados)</t>
        </is>
      </c>
      <c r="B24" s="6" t="n">
        <v>370000</v>
      </c>
      <c r="C24" s="7" t="inlineStr">
        <is>
          <t>Dinero ingresado a caja</t>
        </is>
      </c>
    </row>
    <row r="25">
      <c r="A25" s="5" t="inlineStr">
        <is>
          <t>Saldo Pendiente por Cobrar</t>
        </is>
      </c>
      <c r="B25" s="6" t="n">
        <v>261500</v>
      </c>
      <c r="C25" s="7" t="inlineStr">
        <is>
          <t>Cuentas activas por cobrar</t>
        </is>
      </c>
    </row>
    <row r="26">
      <c r="A26" s="5" t="inlineStr">
        <is>
          <t>Tasa de Recuperación de Cartera (%)</t>
        </is>
      </c>
      <c r="B26" s="10" t="n">
        <v>0.5859065716547902</v>
      </c>
      <c r="C26" s="7" t="inlineStr">
        <is>
          <t>Porcentaje de amortización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8BDF8"/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4" customWidth="1" min="3" max="3"/>
    <col width="18" customWidth="1" min="4" max="4"/>
    <col width="18" customWidth="1" min="5" max="5"/>
  </cols>
  <sheetData>
    <row r="1">
      <c r="A1" s="3" t="inlineStr">
        <is>
          <t>MÉTODO DE PAGO</t>
        </is>
      </c>
      <c r="B1" s="11" t="inlineStr">
        <is>
          <t>TRANSACCIONES</t>
        </is>
      </c>
      <c r="C1" s="4" t="inlineStr">
        <is>
          <t>MONTO TOTAL RECAUDADO</t>
        </is>
      </c>
      <c r="D1" s="4" t="inlineStr">
        <is>
          <t>% PARTICIPACIÓN</t>
        </is>
      </c>
      <c r="E1" s="4" t="inlineStr">
        <is>
          <t>TICKET PROMEDIO</t>
        </is>
      </c>
    </row>
    <row r="2">
      <c r="A2" s="12" t="inlineStr">
        <is>
          <t>SINPE Móvil</t>
        </is>
      </c>
      <c r="B2" s="13" t="n">
        <v>1</v>
      </c>
      <c r="C2" s="6" t="n">
        <v>26950.5</v>
      </c>
      <c r="D2" s="14">
        <f>C2/$C$6</f>
        <v/>
      </c>
      <c r="E2" s="15">
        <f>IF(B2&gt;0, C2/B2, 0)</f>
        <v/>
      </c>
    </row>
    <row r="3">
      <c r="A3" s="12" t="inlineStr">
        <is>
          <t>Tarjeta Débito / Crédito</t>
        </is>
      </c>
      <c r="B3" s="13" t="n">
        <v>0</v>
      </c>
      <c r="C3" s="6" t="n">
        <v>0</v>
      </c>
      <c r="D3" s="14">
        <f>C3/$C$6</f>
        <v/>
      </c>
      <c r="E3" s="15">
        <f>IF(B3&gt;0, C3/B3, 0)</f>
        <v/>
      </c>
    </row>
    <row r="4">
      <c r="A4" s="12" t="inlineStr">
        <is>
          <t>Transferencia Bancaria</t>
        </is>
      </c>
      <c r="B4" s="13" t="n">
        <v>0</v>
      </c>
      <c r="C4" s="6" t="n">
        <v>0</v>
      </c>
      <c r="D4" s="14">
        <f>C4/$C$6</f>
        <v/>
      </c>
      <c r="E4" s="15">
        <f>IF(B4&gt;0, C4/B4, 0)</f>
        <v/>
      </c>
    </row>
    <row r="5">
      <c r="A5" s="12" t="inlineStr">
        <is>
          <t>Efectivo</t>
        </is>
      </c>
      <c r="B5" s="13" t="n">
        <v>1</v>
      </c>
      <c r="C5" s="6" t="n">
        <v>23617</v>
      </c>
      <c r="D5" s="14">
        <f>C5/$C$6</f>
        <v/>
      </c>
      <c r="E5" s="15">
        <f>IF(B5&gt;0, C5/B5, 0)</f>
        <v/>
      </c>
    </row>
    <row r="6">
      <c r="A6" s="16" t="inlineStr">
        <is>
          <t>TOTAL GENERAL</t>
        </is>
      </c>
      <c r="B6" s="17">
        <f>SUM(B2:B5)</f>
        <v/>
      </c>
      <c r="C6" s="18">
        <f>SUM(C2:C5)</f>
        <v/>
      </c>
      <c r="D6" s="19">
        <f>SUM(D2:D5)</f>
        <v/>
      </c>
      <c r="E6" s="18">
        <f>IF(B6&gt;0, C6/B6,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7" customWidth="1" min="3" max="3"/>
    <col width="14" customWidth="1" min="4" max="4"/>
    <col width="11" customWidth="1" min="5" max="5"/>
    <col width="16" customWidth="1" min="6" max="6"/>
    <col width="14" customWidth="1" min="7" max="7"/>
    <col width="20" customWidth="1" min="8" max="8"/>
    <col width="22" customWidth="1" min="9" max="9"/>
    <col width="18" customWidth="1" min="10" max="10"/>
    <col width="25" customWidth="1" min="11" max="11"/>
    <col width="22" customWidth="1" min="12" max="12"/>
  </cols>
  <sheetData>
    <row r="1">
      <c r="A1" s="11" t="inlineStr">
        <is>
          <t>CONSECUTIVO</t>
        </is>
      </c>
      <c r="B1" s="11" t="inlineStr">
        <is>
          <t>FECHA &amp; HORA</t>
        </is>
      </c>
      <c r="C1" s="3" t="inlineStr">
        <is>
          <t>CLIENTE</t>
        </is>
      </c>
      <c r="D1" s="11" t="inlineStr">
        <is>
          <t>CÉDULA</t>
        </is>
      </c>
      <c r="E1" s="11" t="inlineStr">
        <is>
          <t>TELÉFONO</t>
        </is>
      </c>
      <c r="F1" s="3" t="inlineStr">
        <is>
          <t>VENDEDOR</t>
        </is>
      </c>
      <c r="G1" s="11" t="inlineStr">
        <is>
          <t>MÉTODO PAGO</t>
        </is>
      </c>
      <c r="H1" s="11" t="inlineStr">
        <is>
          <t>COMPROBANTE / REF</t>
        </is>
      </c>
      <c r="I1" s="4" t="inlineStr">
        <is>
          <t>SUBTOTAL BASE (CRC)</t>
        </is>
      </c>
      <c r="J1" s="4" t="inlineStr">
        <is>
          <t>DESCUENTO (CRC)</t>
        </is>
      </c>
      <c r="K1" s="4" t="inlineStr">
        <is>
          <t>IVA 13% INCLUIDO (CRC)</t>
        </is>
      </c>
      <c r="L1" s="4" t="inlineStr">
        <is>
          <t>TOTAL COBRADO (CRC)</t>
        </is>
      </c>
    </row>
    <row r="2">
      <c r="A2" s="20" t="inlineStr">
        <is>
          <t>F-00002</t>
        </is>
      </c>
      <c r="B2" s="20" t="inlineStr">
        <is>
          <t>20/10/2026 06:57</t>
        </is>
      </c>
      <c r="C2" s="5" t="inlineStr">
        <is>
          <t>Cliente General</t>
        </is>
      </c>
      <c r="D2" s="20" t="inlineStr">
        <is>
          <t>N/A</t>
        </is>
      </c>
      <c r="E2" s="20" t="inlineStr">
        <is>
          <t>N/A</t>
        </is>
      </c>
      <c r="F2" s="5" t="inlineStr">
        <is>
          <t>Carlos Méndez</t>
        </is>
      </c>
      <c r="G2" s="20" t="inlineStr">
        <is>
          <t>EFECTIVO</t>
        </is>
      </c>
      <c r="H2" s="20" t="inlineStr">
        <is>
          <t>S/C</t>
        </is>
      </c>
      <c r="I2" s="15" t="n">
        <v>22000</v>
      </c>
      <c r="J2" s="21" t="n">
        <v>1100</v>
      </c>
      <c r="K2" s="15" t="n">
        <v>2717</v>
      </c>
      <c r="L2" s="6" t="n">
        <v>23617</v>
      </c>
    </row>
    <row r="3">
      <c r="A3" s="22" t="inlineStr">
        <is>
          <t>F-00001</t>
        </is>
      </c>
      <c r="B3" s="22" t="inlineStr">
        <is>
          <t>20/10/2026 06:50</t>
        </is>
      </c>
      <c r="C3" s="23" t="inlineStr">
        <is>
          <t>Katherine Navarro Solano</t>
        </is>
      </c>
      <c r="D3" s="22" t="inlineStr">
        <is>
          <t>1-1234-5678</t>
        </is>
      </c>
      <c r="E3" s="22" t="inlineStr">
        <is>
          <t>N/A</t>
        </is>
      </c>
      <c r="F3" s="23" t="inlineStr">
        <is>
          <t>Carlos Mendez</t>
        </is>
      </c>
      <c r="G3" s="22" t="inlineStr">
        <is>
          <t>SINPE_MOVIL</t>
        </is>
      </c>
      <c r="H3" s="22" t="inlineStr">
        <is>
          <t>SINPE-884910</t>
        </is>
      </c>
      <c r="I3" s="24" t="n">
        <v>26500</v>
      </c>
      <c r="J3" s="25" t="n">
        <v>2650</v>
      </c>
      <c r="K3" s="24" t="n">
        <v>3100.5</v>
      </c>
      <c r="L3" s="26" t="n">
        <v>26950.5</v>
      </c>
    </row>
    <row r="4">
      <c r="A4" s="16" t="inlineStr">
        <is>
          <t>TOTALES</t>
        </is>
      </c>
      <c r="B4" s="16" t="inlineStr"/>
      <c r="C4" s="16" t="inlineStr"/>
      <c r="D4" s="16" t="inlineStr"/>
      <c r="E4" s="16" t="inlineStr"/>
      <c r="F4" s="16" t="inlineStr"/>
      <c r="G4" s="16" t="inlineStr"/>
      <c r="H4" s="16" t="inlineStr"/>
      <c r="I4" s="18">
        <f>SUM(I2:I3)</f>
        <v/>
      </c>
      <c r="J4" s="18">
        <f>SUM(J2:J3)</f>
        <v/>
      </c>
      <c r="K4" s="18">
        <f>SUM(K2:K3)</f>
        <v/>
      </c>
      <c r="L4" s="18">
        <f>SUM(L2:L3)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12" customWidth="1" min="3" max="3"/>
    <col width="21" customWidth="1" min="4" max="4"/>
    <col width="17" customWidth="1" min="5" max="5"/>
    <col width="20" customWidth="1" min="6" max="6"/>
    <col width="15" customWidth="1" min="7" max="7"/>
    <col width="17" customWidth="1" min="8" max="8"/>
    <col width="17" customWidth="1" min="9" max="9"/>
    <col width="26" customWidth="1" min="10" max="10"/>
    <col width="20" customWidth="1" min="11" max="11"/>
    <col width="20" customWidth="1" min="12" max="12"/>
    <col width="24" customWidth="1" min="13" max="13"/>
    <col width="13" customWidth="1" min="14" max="14"/>
  </cols>
  <sheetData>
    <row r="1">
      <c r="A1" s="11" t="inlineStr">
        <is>
          <t>SKU / CÓDIGO</t>
        </is>
      </c>
      <c r="B1" s="3" t="inlineStr">
        <is>
          <t>NOMBRE DEL PRODUCTO / SERVICIO</t>
        </is>
      </c>
      <c r="C1" s="11" t="inlineStr">
        <is>
          <t>CATEGORÍA</t>
        </is>
      </c>
      <c r="D1" s="11" t="inlineStr">
        <is>
          <t>VARIANTE PRINCIPAL</t>
        </is>
      </c>
      <c r="E1" s="11" t="inlineStr">
        <is>
          <t>ESPECIFICACIÓN</t>
        </is>
      </c>
      <c r="F1" s="11" t="inlineStr">
        <is>
          <t>UBICACIÓN</t>
        </is>
      </c>
      <c r="G1" s="11" t="inlineStr">
        <is>
          <t>STOCK FÍSICO</t>
        </is>
      </c>
      <c r="H1" s="11" t="inlineStr">
        <is>
          <t>STOCK APARTADO</t>
        </is>
      </c>
      <c r="I1" s="4" t="inlineStr">
        <is>
          <t>COSTO UNITARIO</t>
        </is>
      </c>
      <c r="J1" s="4" t="inlineStr">
        <is>
          <t>PRECIO VENTA (IVA INC.)</t>
        </is>
      </c>
      <c r="K1" s="4" t="inlineStr">
        <is>
          <t>VALOR COSTO TOTAL</t>
        </is>
      </c>
      <c r="L1" s="4" t="inlineStr">
        <is>
          <t>VALOR VENTA TOTAL</t>
        </is>
      </c>
      <c r="M1" s="4" t="inlineStr">
        <is>
          <t>MARGEN BRUTO UNITARIO</t>
        </is>
      </c>
      <c r="N1" s="4" t="inlineStr">
        <is>
          <t>MARGEN %</t>
        </is>
      </c>
    </row>
    <row r="2">
      <c r="A2" s="27" t="inlineStr">
        <is>
          <t>NX-I7AUQG</t>
        </is>
      </c>
      <c r="B2" s="5" t="inlineStr">
        <is>
          <t>Filtro de Aceite Universal</t>
        </is>
      </c>
      <c r="C2" s="20" t="inlineStr">
        <is>
          <t>Repuestos</t>
        </is>
      </c>
      <c r="D2" s="20" t="inlineStr">
        <is>
          <t>Estándar</t>
        </is>
      </c>
      <c r="E2" s="20" t="inlineStr">
        <is>
          <t>N/A</t>
        </is>
      </c>
      <c r="F2" s="20" t="inlineStr">
        <is>
          <t>Estante Principal</t>
        </is>
      </c>
      <c r="G2" s="13" t="n">
        <v>25</v>
      </c>
      <c r="H2" s="13" t="n">
        <v>0</v>
      </c>
      <c r="I2" s="15" t="n">
        <v>0</v>
      </c>
      <c r="J2" s="15" t="n">
        <v>8500</v>
      </c>
      <c r="K2" s="15">
        <f>G2*I2</f>
        <v/>
      </c>
      <c r="L2" s="6">
        <f>G2*J2</f>
        <v/>
      </c>
      <c r="M2" s="15">
        <f>J2-I2</f>
        <v/>
      </c>
      <c r="N2" s="10">
        <f>IF(J2&gt;0, M2/J2, 0)</f>
        <v/>
      </c>
    </row>
    <row r="3">
      <c r="A3" s="28" t="inlineStr">
        <is>
          <t>54444</t>
        </is>
      </c>
      <c r="B3" s="23" t="inlineStr">
        <is>
          <t>tele</t>
        </is>
      </c>
      <c r="C3" s="22" t="inlineStr">
        <is>
          <t>Prendas</t>
        </is>
      </c>
      <c r="D3" s="22" t="inlineStr">
        <is>
          <t>s</t>
        </is>
      </c>
      <c r="E3" s="22" t="inlineStr">
        <is>
          <t>negro</t>
        </is>
      </c>
      <c r="F3" s="22" t="inlineStr">
        <is>
          <t>tarima patio</t>
        </is>
      </c>
      <c r="G3" s="29" t="n">
        <v>5</v>
      </c>
      <c r="H3" s="29" t="n">
        <v>0</v>
      </c>
      <c r="I3" s="24" t="n">
        <v>0</v>
      </c>
      <c r="J3" s="24" t="n">
        <v>18000</v>
      </c>
      <c r="K3" s="24">
        <f>G3*I3</f>
        <v/>
      </c>
      <c r="L3" s="26">
        <f>G3*J3</f>
        <v/>
      </c>
      <c r="M3" s="24">
        <f>J3-I3</f>
        <v/>
      </c>
      <c r="N3" s="30">
        <f>IF(J3&gt;0, M3/J3, 0)</f>
        <v/>
      </c>
    </row>
    <row r="4">
      <c r="A4" s="27" t="inlineStr">
        <is>
          <t>JJJ-OOO-012</t>
        </is>
      </c>
      <c r="B4" s="5" t="inlineStr">
        <is>
          <t>hoodie</t>
        </is>
      </c>
      <c r="C4" s="20" t="inlineStr">
        <is>
          <t>Prendas</t>
        </is>
      </c>
      <c r="D4" s="20" t="inlineStr">
        <is>
          <t>XL</t>
        </is>
      </c>
      <c r="E4" s="20" t="inlineStr">
        <is>
          <t>ROJO</t>
        </is>
      </c>
      <c r="F4" s="20" t="inlineStr">
        <is>
          <t>TARIMA</t>
        </is>
      </c>
      <c r="G4" s="13" t="n">
        <v>134</v>
      </c>
      <c r="H4" s="13" t="n">
        <v>11</v>
      </c>
      <c r="I4" s="15" t="n">
        <v>0</v>
      </c>
      <c r="J4" s="15" t="n">
        <v>15000</v>
      </c>
      <c r="K4" s="15">
        <f>G4*I4</f>
        <v/>
      </c>
      <c r="L4" s="6">
        <f>G4*J4</f>
        <v/>
      </c>
      <c r="M4" s="15">
        <f>J4-I4</f>
        <v/>
      </c>
      <c r="N4" s="10">
        <f>IF(J4&gt;0, M4/J4, 0)</f>
        <v/>
      </c>
    </row>
    <row r="5">
      <c r="A5" s="28" t="inlineStr">
        <is>
          <t>BLS-CRW-YEL-M</t>
        </is>
      </c>
      <c r="B5" s="23" t="inlineStr">
        <is>
          <t>Blusa Crop Neon Rave</t>
        </is>
      </c>
      <c r="C5" s="22" t="inlineStr">
        <is>
          <t>Prendas</t>
        </is>
      </c>
      <c r="D5" s="22" t="inlineStr">
        <is>
          <t>M</t>
        </is>
      </c>
      <c r="E5" s="22" t="inlineStr">
        <is>
          <t>Amarillo Neón</t>
        </is>
      </c>
      <c r="F5" s="22" t="inlineStr">
        <is>
          <t>Caja D-02</t>
        </is>
      </c>
      <c r="G5" s="29" t="n">
        <v>1500</v>
      </c>
      <c r="H5" s="29" t="n">
        <v>0</v>
      </c>
      <c r="I5" s="24" t="n">
        <v>0</v>
      </c>
      <c r="J5" s="24" t="n">
        <v>13500</v>
      </c>
      <c r="K5" s="24">
        <f>G5*I5</f>
        <v/>
      </c>
      <c r="L5" s="26">
        <f>G5*J5</f>
        <v/>
      </c>
      <c r="M5" s="24">
        <f>J5-I5</f>
        <v/>
      </c>
      <c r="N5" s="30">
        <f>IF(J5&gt;0, M5/J5, 0)</f>
        <v/>
      </c>
    </row>
    <row r="6">
      <c r="A6" s="27" t="inlineStr">
        <is>
          <t>TSH-MIN-WHT-S</t>
        </is>
      </c>
      <c r="B6" s="5" t="inlineStr">
        <is>
          <t>Camiseta Boxy Minimal</t>
        </is>
      </c>
      <c r="C6" s="20" t="inlineStr">
        <is>
          <t>Camiseta</t>
        </is>
      </c>
      <c r="D6" s="20" t="inlineStr">
        <is>
          <t>S</t>
        </is>
      </c>
      <c r="E6" s="20" t="inlineStr">
        <is>
          <t>Blanco Crudo</t>
        </is>
      </c>
      <c r="F6" s="20" t="inlineStr">
        <is>
          <t>Caja C-11</t>
        </is>
      </c>
      <c r="G6" s="13" t="n">
        <v>31</v>
      </c>
      <c r="H6" s="13" t="n">
        <v>5</v>
      </c>
      <c r="I6" s="15" t="n">
        <v>6000</v>
      </c>
      <c r="J6" s="15" t="n">
        <v>12500</v>
      </c>
      <c r="K6" s="15">
        <f>G6*I6</f>
        <v/>
      </c>
      <c r="L6" s="6">
        <f>G6*J6</f>
        <v/>
      </c>
      <c r="M6" s="15">
        <f>J6-I6</f>
        <v/>
      </c>
      <c r="N6" s="10">
        <f>IF(J6&gt;0, M6/J6, 0)</f>
        <v/>
      </c>
    </row>
    <row r="7">
      <c r="A7" s="28" t="inlineStr">
        <is>
          <t>CRG-PNT-KHK-32</t>
        </is>
      </c>
      <c r="B7" s="23" t="inlineStr">
        <is>
          <t>Pantalón Cargo Táctico</t>
        </is>
      </c>
      <c r="C7" s="22" t="inlineStr">
        <is>
          <t>Pantalón</t>
        </is>
      </c>
      <c r="D7" s="22" t="inlineStr">
        <is>
          <t>32</t>
        </is>
      </c>
      <c r="E7" s="22" t="inlineStr">
        <is>
          <t>Caqui Militar</t>
        </is>
      </c>
      <c r="F7" s="22" t="inlineStr">
        <is>
          <t>Rack B-04</t>
        </is>
      </c>
      <c r="G7" s="29" t="n">
        <v>12</v>
      </c>
      <c r="H7" s="29" t="n">
        <v>1</v>
      </c>
      <c r="I7" s="24" t="n">
        <v>15000</v>
      </c>
      <c r="J7" s="24" t="n">
        <v>26500</v>
      </c>
      <c r="K7" s="24">
        <f>G7*I7</f>
        <v/>
      </c>
      <c r="L7" s="26">
        <f>G7*J7</f>
        <v/>
      </c>
      <c r="M7" s="24">
        <f>J7-I7</f>
        <v/>
      </c>
      <c r="N7" s="30">
        <f>IF(J7&gt;0, M7/J7, 0)</f>
        <v/>
      </c>
    </row>
    <row r="8">
      <c r="A8" s="27" t="inlineStr">
        <is>
          <t>HD-OVR-BGE-L</t>
        </is>
      </c>
      <c r="B8" s="5" t="inlineStr">
        <is>
          <t>Hoodie Cyberpunk Oversize</t>
        </is>
      </c>
      <c r="C8" s="20" t="inlineStr">
        <is>
          <t>Hoodie</t>
        </is>
      </c>
      <c r="D8" s="20" t="inlineStr">
        <is>
          <t>L</t>
        </is>
      </c>
      <c r="E8" s="20" t="inlineStr">
        <is>
          <t>Beige Desierto</t>
        </is>
      </c>
      <c r="F8" s="20" t="inlineStr">
        <is>
          <t>Rack A-02</t>
        </is>
      </c>
      <c r="G8" s="13" t="n">
        <v>6</v>
      </c>
      <c r="H8" s="13" t="n">
        <v>6</v>
      </c>
      <c r="I8" s="15" t="n">
        <v>12000</v>
      </c>
      <c r="J8" s="15" t="n">
        <v>22000</v>
      </c>
      <c r="K8" s="15">
        <f>G8*I8</f>
        <v/>
      </c>
      <c r="L8" s="6">
        <f>G8*J8</f>
        <v/>
      </c>
      <c r="M8" s="15">
        <f>J8-I8</f>
        <v/>
      </c>
      <c r="N8" s="10">
        <f>IF(J8&gt;0, M8/J8, 0)</f>
        <v/>
      </c>
    </row>
    <row r="9">
      <c r="A9" s="28" t="inlineStr">
        <is>
          <t>HD-OVR-BLK-M</t>
        </is>
      </c>
      <c r="B9" s="23" t="inlineStr">
        <is>
          <t>Hoodie Cyberpunk Oversize</t>
        </is>
      </c>
      <c r="C9" s="22" t="inlineStr">
        <is>
          <t>Hoodie</t>
        </is>
      </c>
      <c r="D9" s="22" t="inlineStr">
        <is>
          <t>M</t>
        </is>
      </c>
      <c r="E9" s="22" t="inlineStr">
        <is>
          <t>Negro Asfalto</t>
        </is>
      </c>
      <c r="F9" s="22" t="inlineStr">
        <is>
          <t>Rack A-01</t>
        </is>
      </c>
      <c r="G9" s="29" t="n">
        <v>13</v>
      </c>
      <c r="H9" s="29" t="n">
        <v>6</v>
      </c>
      <c r="I9" s="24" t="n">
        <v>12000</v>
      </c>
      <c r="J9" s="24" t="n">
        <v>22000</v>
      </c>
      <c r="K9" s="24">
        <f>G9*I9</f>
        <v/>
      </c>
      <c r="L9" s="26">
        <f>G9*J9</f>
        <v/>
      </c>
      <c r="M9" s="24">
        <f>J9-I9</f>
        <v/>
      </c>
      <c r="N9" s="30">
        <f>IF(J9&gt;0, M9/J9, 0)</f>
        <v/>
      </c>
    </row>
    <row r="10">
      <c r="A10" s="16" t="inlineStr">
        <is>
          <t>TOTALES CONSOLIDADOS</t>
        </is>
      </c>
      <c r="B10" s="16" t="inlineStr"/>
      <c r="C10" s="16" t="inlineStr"/>
      <c r="D10" s="16" t="inlineStr"/>
      <c r="E10" s="16" t="inlineStr"/>
      <c r="F10" s="16" t="inlineStr"/>
      <c r="G10" s="17">
        <f>SUM(G2:G9)</f>
        <v/>
      </c>
      <c r="H10" s="17">
        <f>SUM(H2:H9)</f>
        <v/>
      </c>
      <c r="I10" s="16" t="inlineStr"/>
      <c r="J10" s="16" t="inlineStr"/>
      <c r="K10" s="18">
        <f>SUM(K2:K9)</f>
        <v/>
      </c>
      <c r="L10" s="18">
        <f>SUM(L2:L9)</f>
        <v/>
      </c>
      <c r="M10" s="18">
        <f>L10-K10</f>
        <v/>
      </c>
      <c r="N10" s="19">
        <f>IF(L10&gt;0, M10/L10,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17" customWidth="1" min="4" max="4"/>
    <col width="14" customWidth="1" min="5" max="5"/>
    <col width="16" customWidth="1" min="6" max="6"/>
    <col width="20" customWidth="1" min="7" max="7"/>
    <col width="27" customWidth="1" min="8" max="8"/>
    <col width="24" customWidth="1" min="9" max="9"/>
    <col width="15" customWidth="1" min="10" max="10"/>
    <col width="12" customWidth="1" min="11" max="11"/>
  </cols>
  <sheetData>
    <row r="1">
      <c r="A1" s="11" t="inlineStr">
        <is>
          <t>CONSECUTIVO</t>
        </is>
      </c>
      <c r="B1" s="11" t="inlineStr">
        <is>
          <t>FECHA CREACIÓN</t>
        </is>
      </c>
      <c r="C1" s="3" t="inlineStr">
        <is>
          <t>CLIENTE</t>
        </is>
      </c>
      <c r="D1" s="11" t="inlineStr">
        <is>
          <t>TELÉFONO</t>
        </is>
      </c>
      <c r="E1" s="11" t="inlineStr">
        <is>
          <t>CÉDULA</t>
        </is>
      </c>
      <c r="F1" s="3" t="inlineStr">
        <is>
          <t>VENDEDOR</t>
        </is>
      </c>
      <c r="G1" s="4" t="inlineStr">
        <is>
          <t>MONTO TOTAL (CRC)</t>
        </is>
      </c>
      <c r="H1" s="4" t="inlineStr">
        <is>
          <t>RECAUDADO / ABONOS (CRC)</t>
        </is>
      </c>
      <c r="I1" s="4" t="inlineStr">
        <is>
          <t>SALDO PENDIENTE (CRC)</t>
        </is>
      </c>
      <c r="J1" s="4" t="inlineStr">
        <is>
          <t>% AMORTIZADO</t>
        </is>
      </c>
      <c r="K1" s="11" t="inlineStr">
        <is>
          <t>ESTADO</t>
        </is>
      </c>
    </row>
    <row r="2">
      <c r="A2" s="27" t="inlineStr">
        <is>
          <t>APT-00004</t>
        </is>
      </c>
      <c r="B2" s="20" t="inlineStr">
        <is>
          <t>20/10/2026</t>
        </is>
      </c>
      <c r="C2" s="5" t="inlineStr">
        <is>
          <t>Cliente General</t>
        </is>
      </c>
      <c r="D2" s="20" t="inlineStr">
        <is>
          <t>N/A</t>
        </is>
      </c>
      <c r="E2" s="20" t="inlineStr">
        <is>
          <t>N/A</t>
        </is>
      </c>
      <c r="F2" s="5" t="inlineStr">
        <is>
          <t>Carlos Méndez</t>
        </is>
      </c>
      <c r="G2" s="15" t="n">
        <v>265000</v>
      </c>
      <c r="H2" s="15" t="n">
        <v>265000</v>
      </c>
      <c r="I2" s="6" t="n">
        <v>0</v>
      </c>
      <c r="J2" s="14">
        <f>IF(G2&gt;0, H2/G2, 0)</f>
        <v/>
      </c>
      <c r="K2" s="20" t="inlineStr">
        <is>
          <t>LIQUIDADO</t>
        </is>
      </c>
    </row>
    <row r="3">
      <c r="A3" s="28" t="inlineStr">
        <is>
          <t>APT-00003</t>
        </is>
      </c>
      <c r="B3" s="22" t="inlineStr">
        <is>
          <t>20/10/2026</t>
        </is>
      </c>
      <c r="C3" s="23" t="inlineStr">
        <is>
          <t>Cliente General</t>
        </is>
      </c>
      <c r="D3" s="22" t="inlineStr">
        <is>
          <t>N/A</t>
        </is>
      </c>
      <c r="E3" s="22" t="inlineStr">
        <is>
          <t>N/A</t>
        </is>
      </c>
      <c r="F3" s="23" t="inlineStr">
        <is>
          <t>Isaac Sánchez</t>
        </is>
      </c>
      <c r="G3" s="24" t="n">
        <v>326000</v>
      </c>
      <c r="H3" s="24" t="n">
        <v>90000</v>
      </c>
      <c r="I3" s="26" t="n">
        <v>236000</v>
      </c>
      <c r="J3" s="31">
        <f>IF(G3&gt;0, H3/G3, 0)</f>
        <v/>
      </c>
      <c r="K3" s="22" t="inlineStr">
        <is>
          <t>PENDIENTE</t>
        </is>
      </c>
    </row>
    <row r="4">
      <c r="A4" s="27" t="inlineStr">
        <is>
          <t>APT-00002</t>
        </is>
      </c>
      <c r="B4" s="20" t="inlineStr">
        <is>
          <t>20/10/2026</t>
        </is>
      </c>
      <c r="C4" s="5" t="inlineStr">
        <is>
          <t>Cliente General</t>
        </is>
      </c>
      <c r="D4" s="20" t="inlineStr">
        <is>
          <t>N/A</t>
        </is>
      </c>
      <c r="E4" s="20" t="inlineStr">
        <is>
          <t>N/A</t>
        </is>
      </c>
      <c r="F4" s="5" t="inlineStr">
        <is>
          <t>Carlos Méndez</t>
        </is>
      </c>
      <c r="G4" s="15" t="n">
        <v>14000</v>
      </c>
      <c r="H4" s="15" t="n">
        <v>5000</v>
      </c>
      <c r="I4" s="6" t="n">
        <v>9000</v>
      </c>
      <c r="J4" s="14">
        <f>IF(G4&gt;0, H4/G4, 0)</f>
        <v/>
      </c>
      <c r="K4" s="20" t="inlineStr">
        <is>
          <t>PENDIENTE</t>
        </is>
      </c>
    </row>
    <row r="5">
      <c r="A5" s="28" t="inlineStr">
        <is>
          <t>APT-00001</t>
        </is>
      </c>
      <c r="B5" s="22" t="inlineStr">
        <is>
          <t>15/10/2026</t>
        </is>
      </c>
      <c r="C5" s="23" t="inlineStr">
        <is>
          <t>Esteban Vargas Quirós</t>
        </is>
      </c>
      <c r="D5" s="22" t="inlineStr">
        <is>
          <t>+506 8321-9988</t>
        </is>
      </c>
      <c r="E5" s="22" t="inlineStr">
        <is>
          <t>1-1189-0234</t>
        </is>
      </c>
      <c r="F5" s="23" t="inlineStr">
        <is>
          <t>Carlos Méndez</t>
        </is>
      </c>
      <c r="G5" s="24" t="n">
        <v>26500</v>
      </c>
      <c r="H5" s="24" t="n">
        <v>10000</v>
      </c>
      <c r="I5" s="26" t="n">
        <v>16500</v>
      </c>
      <c r="J5" s="31">
        <f>IF(G5&gt;0, H5/G5, 0)</f>
        <v/>
      </c>
      <c r="K5" s="22" t="inlineStr">
        <is>
          <t>PENDIENTE</t>
        </is>
      </c>
    </row>
    <row r="6">
      <c r="A6" s="16" t="inlineStr">
        <is>
          <t>TOTALES</t>
        </is>
      </c>
      <c r="B6" s="16" t="inlineStr"/>
      <c r="C6" s="16" t="inlineStr"/>
      <c r="D6" s="16" t="inlineStr"/>
      <c r="E6" s="16" t="inlineStr"/>
      <c r="F6" s="16" t="inlineStr"/>
      <c r="G6" s="18">
        <f>SUM(G2:G5)</f>
        <v/>
      </c>
      <c r="H6" s="18">
        <f>SUM(H2:H5)</f>
        <v/>
      </c>
      <c r="I6" s="18">
        <f>SUM(I2:I5)</f>
        <v/>
      </c>
      <c r="J6" s="19">
        <f>IF(G6&gt;0, H6/G6, 0)</f>
        <v/>
      </c>
      <c r="K6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2026-10-20T07:30:50Z</dcterms:created>
  <dcterms:modified xmlns:dcterms="http://purl.org/dc/terms/" xmlns:xsi="http://www.w3.org/2001/XMLSchema-instance" xsi:type="dcterms:W3CDTF">2026-10-20T07:30:50Z</dcterms:modified>
</cp:coreProperties>
</file>